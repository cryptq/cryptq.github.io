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ource\Distribution\Common\Spectrasys\Scripting\Excel_to_RF\"/>
    </mc:Choice>
  </mc:AlternateContent>
  <bookViews>
    <workbookView xWindow="-15" yWindow="60" windowWidth="7680" windowHeight="9015" tabRatio="541" firstSheet="1" activeTab="1"/>
  </bookViews>
  <sheets>
    <sheet name="pldt" sheetId="1" state="veryHidden" r:id="rId1"/>
    <sheet name="Sheet1" sheetId="3" r:id="rId2"/>
  </sheets>
  <definedNames>
    <definedName name="Freq">#REF!</definedName>
  </definedNames>
  <calcPr calcId="171027"/>
</workbook>
</file>

<file path=xl/calcChain.xml><?xml version="1.0" encoding="utf-8"?>
<calcChain xmlns="http://schemas.openxmlformats.org/spreadsheetml/2006/main">
  <c r="R15" i="3" l="1"/>
  <c r="R14" i="3"/>
  <c r="R13" i="3"/>
  <c r="R12" i="3"/>
  <c r="R11" i="3"/>
  <c r="R10" i="3"/>
  <c r="R9" i="3"/>
  <c r="J9" i="3"/>
  <c r="T15" i="3"/>
  <c r="T14" i="3"/>
  <c r="T13" i="3"/>
  <c r="T12" i="3"/>
  <c r="T11" i="3"/>
  <c r="T10" i="3"/>
  <c r="T9" i="3"/>
  <c r="N9" i="3"/>
  <c r="Q15" i="3" l="1"/>
  <c r="P15" i="3"/>
  <c r="S15" i="3"/>
  <c r="P10" i="3"/>
  <c r="P11" i="3"/>
  <c r="P12" i="3"/>
  <c r="P14" i="3"/>
  <c r="S13" i="3"/>
  <c r="S9" i="3"/>
  <c r="P13" i="3"/>
  <c r="S10" i="3"/>
  <c r="S11" i="3"/>
  <c r="S12" i="3"/>
  <c r="S14" i="3"/>
  <c r="G9" i="3"/>
  <c r="I9" i="3"/>
  <c r="C10" i="3"/>
  <c r="Q10" i="3" s="1"/>
  <c r="P9" i="3"/>
  <c r="C11" i="3"/>
  <c r="Q11" i="3" s="1"/>
  <c r="Q12" i="3"/>
  <c r="C13" i="3"/>
  <c r="Q13" i="3" s="1"/>
  <c r="C14" i="3"/>
  <c r="Q14" i="3" s="1"/>
  <c r="Q9" i="3"/>
  <c r="L9" i="3"/>
  <c r="N12" i="3" l="1"/>
  <c r="N13" i="3"/>
  <c r="N14" i="3"/>
  <c r="N15" i="3"/>
  <c r="J10" i="3"/>
  <c r="J11" i="3"/>
  <c r="N10" i="3"/>
  <c r="O10" i="3" s="1"/>
  <c r="N11" i="3"/>
  <c r="H9" i="3"/>
  <c r="K9" i="3"/>
  <c r="O9" i="3"/>
  <c r="J15" i="3"/>
  <c r="J14" i="3"/>
  <c r="J13" i="3"/>
  <c r="J12" i="3"/>
  <c r="I10" i="3"/>
  <c r="I11" i="3" s="1"/>
  <c r="I12" i="3" s="1"/>
  <c r="I13" i="3" s="1"/>
  <c r="I14" i="3" s="1"/>
  <c r="I15" i="3" s="1"/>
  <c r="M9" i="3"/>
  <c r="G10" i="3"/>
  <c r="L11" i="3"/>
  <c r="L13" i="3"/>
  <c r="L12" i="3"/>
  <c r="L14" i="3"/>
  <c r="L10" i="3"/>
  <c r="L15" i="3"/>
  <c r="K11" i="3" l="1"/>
  <c r="K10" i="3"/>
  <c r="M10" i="3"/>
  <c r="H10" i="3"/>
  <c r="G11" i="3"/>
  <c r="M11" i="3" s="1"/>
  <c r="O11" i="3" l="1"/>
  <c r="G12" i="3"/>
  <c r="H11" i="3"/>
  <c r="O12" i="3" l="1"/>
  <c r="K12" i="3"/>
  <c r="G13" i="3"/>
  <c r="H12" i="3"/>
  <c r="M12" i="3"/>
  <c r="O13" i="3" l="1"/>
  <c r="K13" i="3"/>
  <c r="G14" i="3"/>
  <c r="M13" i="3"/>
  <c r="H13" i="3"/>
  <c r="O14" i="3" l="1"/>
  <c r="K14" i="3"/>
  <c r="G15" i="3"/>
  <c r="H14" i="3"/>
  <c r="M14" i="3"/>
  <c r="O15" i="3" l="1"/>
  <c r="K15" i="3"/>
  <c r="M15" i="3"/>
  <c r="H15" i="3"/>
</calcChain>
</file>

<file path=xl/sharedStrings.xml><?xml version="1.0" encoding="utf-8"?>
<sst xmlns="http://schemas.openxmlformats.org/spreadsheetml/2006/main" count="68" uniqueCount="27">
  <si>
    <t>Noise</t>
  </si>
  <si>
    <t>Signal</t>
  </si>
  <si>
    <t>Cascaded</t>
  </si>
  <si>
    <t>Numeric</t>
  </si>
  <si>
    <t>Stage Type</t>
  </si>
  <si>
    <t>Gain</t>
  </si>
  <si>
    <t>Figure</t>
  </si>
  <si>
    <t>P1dB</t>
  </si>
  <si>
    <t>Power</t>
  </si>
  <si>
    <t>Factor</t>
  </si>
  <si>
    <t>NF</t>
  </si>
  <si>
    <t>(dB)</t>
  </si>
  <si>
    <t>(dBm)</t>
  </si>
  <si>
    <t>Output</t>
  </si>
  <si>
    <t>Input</t>
  </si>
  <si>
    <t>IP3</t>
  </si>
  <si>
    <t>Cascaded Budget Analysis</t>
  </si>
  <si>
    <t>Cascaded Analysis.xlsx</t>
  </si>
  <si>
    <t>LNA</t>
  </si>
  <si>
    <t>Mixer</t>
  </si>
  <si>
    <t>Input Signal Level (dBm):</t>
  </si>
  <si>
    <t>IP2</t>
  </si>
  <si>
    <t>Pad2</t>
  </si>
  <si>
    <t>Pad1</t>
  </si>
  <si>
    <t>FE_Filter</t>
  </si>
  <si>
    <t>IF_Filter</t>
  </si>
  <si>
    <t>IF_Amp1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</si>
</sst>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5" formatCode="&quot;$&quot;#,##0_);\(&quot;$&quot;#,##0\)"/>
    <numFmt numFmtId="164" formatCode="0.0"/>
    <numFmt numFmtId="165" formatCode="0.00_)"/>
    <numFmt numFmtId="166" formatCode="0.000"/>
  </numFmts>
  <fonts count="14" x14ac:knownFonts="1">
    <font>
      <sz val="10"/>
      <name val="Arial"/>
    </font>
    <font>
      <b/>
      <sz val="18"/>
      <name val="Arial"/>
    </font>
    <font>
      <b/>
      <sz val="12"/>
      <name val="Arial"/>
    </font>
    <font>
      <sz val="8"/>
      <name val="Arial"/>
    </font>
    <font>
      <b/>
      <sz val="10"/>
      <name val="Arial"/>
    </font>
    <font>
      <b/>
      <sz val="14"/>
      <name val="Arial"/>
    </font>
    <font>
      <b/>
      <i/>
      <sz val="10"/>
      <name val="Arial"/>
    </font>
    <font>
      <b/>
      <sz val="8"/>
      <name val="Arial"/>
    </font>
    <font>
      <sz val="10"/>
      <name val="Arial"/>
    </font>
    <font>
      <sz val="8"/>
      <name val="Arial"/>
      <family val="2"/>
    </font>
    <font>
      <sz val="7"/>
      <name val="Small Fonts"/>
    </font>
    <font>
      <b/>
      <i/>
      <sz val="16"/>
      <name val="Helv"/>
    </font>
    <font>
      <sz val="6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0"/>
      </top>
      <bottom/>
      <diagonal/>
    </border>
  </borders>
  <cellStyleXfs count="13">
    <xf numFmtId="0" fontId="0" fillId="0" borderId="0">
      <alignment vertical="top"/>
    </xf>
    <xf numFmtId="3" fontId="8" fillId="0" borderId="0" applyFont="0" applyFill="0" applyBorder="0" applyAlignment="0" applyProtection="0"/>
    <xf numFmtId="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38" fontId="9" fillId="2" borderId="0" applyNumberFormat="0" applyBorder="0" applyAlignment="0" applyProtection="0"/>
    <xf numFmtId="0" fontId="1" fillId="0" borderId="0" applyNumberFormat="0" applyFont="0" applyFill="0" applyAlignment="0" applyProtection="0"/>
    <xf numFmtId="0" fontId="2" fillId="0" borderId="0" applyNumberFormat="0" applyFont="0" applyFill="0" applyAlignment="0" applyProtection="0"/>
    <xf numFmtId="10" fontId="9" fillId="3" borderId="1" applyNumberFormat="0" applyBorder="0" applyAlignment="0" applyProtection="0"/>
    <xf numFmtId="37" fontId="10" fillId="0" borderId="0"/>
    <xf numFmtId="165" fontId="11" fillId="0" borderId="0"/>
    <xf numFmtId="10" fontId="8" fillId="0" borderId="0" applyFont="0" applyFill="0" applyBorder="0" applyAlignment="0" applyProtection="0"/>
    <xf numFmtId="0" fontId="8" fillId="0" borderId="2" applyNumberFormat="0" applyFont="0" applyBorder="0" applyAlignment="0" applyProtection="0"/>
  </cellStyleXfs>
  <cellXfs count="21">
    <xf numFmtId="0" fontId="0" fillId="0" borderId="0" xfId="0" applyAlignment="1"/>
    <xf numFmtId="0" fontId="3" fillId="0" borderId="0" xfId="0" applyFont="1" applyBorder="1" applyAlignment="1"/>
    <xf numFmtId="0" fontId="6" fillId="0" borderId="0" xfId="0" applyFont="1" applyBorder="1" applyAlignment="1"/>
    <xf numFmtId="164" fontId="3" fillId="0" borderId="0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9" fillId="0" borderId="0" xfId="0" applyFont="1" applyAlignment="1"/>
    <xf numFmtId="0" fontId="0" fillId="0" borderId="0" xfId="0" applyAlignment="1">
      <alignment horizontal="center"/>
    </xf>
    <xf numFmtId="0" fontId="4" fillId="0" borderId="0" xfId="0" applyFont="1" applyAlignment="1"/>
    <xf numFmtId="0" fontId="0" fillId="0" borderId="0" xfId="0" applyAlignment="1">
      <alignment horizontal="center" vertical="top"/>
    </xf>
    <xf numFmtId="166" fontId="3" fillId="0" borderId="0" xfId="0" applyNumberFormat="1" applyFont="1" applyBorder="1" applyAlignment="1">
      <alignment horizontal="center"/>
    </xf>
    <xf numFmtId="0" fontId="9" fillId="0" borderId="0" xfId="0" applyFont="1" applyBorder="1" applyAlignment="1"/>
    <xf numFmtId="0" fontId="12" fillId="0" borderId="0" xfId="0" applyFont="1" applyBorder="1" applyAlignment="1"/>
    <xf numFmtId="166" fontId="13" fillId="0" borderId="0" xfId="0" applyNumberFormat="1" applyFont="1" applyBorder="1" applyAlignment="1">
      <alignment horizontal="center"/>
    </xf>
    <xf numFmtId="166" fontId="9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</cellXfs>
  <cellStyles count="13">
    <cellStyle name="Comma0" xfId="1"/>
    <cellStyle name="Currency0" xfId="2"/>
    <cellStyle name="Date" xfId="3"/>
    <cellStyle name="Fixed" xfId="4"/>
    <cellStyle name="Grey" xfId="5"/>
    <cellStyle name="Heading 1" xfId="6" builtinId="16" customBuiltin="1"/>
    <cellStyle name="Heading 2" xfId="7" builtinId="17" customBuiltin="1"/>
    <cellStyle name="Input [yellow]" xfId="8"/>
    <cellStyle name="no dec" xfId="9"/>
    <cellStyle name="Normal" xfId="0" builtinId="0"/>
    <cellStyle name="Normal - Style1" xfId="10"/>
    <cellStyle name="Percent [2]" xfId="11"/>
    <cellStyle name="Total" xfId="12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48576"/>
  <sheetViews>
    <sheetView tabSelected="1" zoomScale="145" zoomScaleNormal="145" workbookViewId="0">
      <selection activeCell="A16" sqref="A16"/>
    </sheetView>
  </sheetViews>
  <sheetFormatPr defaultRowHeight="12.75" x14ac:dyDescent="0.2"/>
  <cols>
    <col min="1" max="1" width="17.28515625" customWidth="1"/>
    <col min="2" max="2" width="6.42578125" style="4" customWidth="1"/>
    <col min="3" max="3" width="5.7109375" customWidth="1"/>
    <col min="4" max="4" width="5.7109375" style="4" customWidth="1"/>
    <col min="5" max="6" width="7" customWidth="1"/>
    <col min="7" max="7" width="7.42578125" style="4" customWidth="1"/>
    <col min="8" max="8" width="8.28515625" customWidth="1"/>
    <col min="9" max="11" width="8.7109375" style="11" customWidth="1"/>
    <col min="12" max="15" width="7.5703125" style="4" customWidth="1"/>
    <col min="16" max="16" width="6.7109375" customWidth="1"/>
    <col min="17" max="17" width="6.42578125" customWidth="1"/>
    <col min="18" max="20" width="12.5703125" bestFit="1" customWidth="1"/>
  </cols>
  <sheetData>
    <row r="1" spans="1:20" x14ac:dyDescent="0.2">
      <c r="A1" s="16" t="s">
        <v>17</v>
      </c>
      <c r="M1" s="13"/>
      <c r="N1" s="13"/>
      <c r="O1" s="13"/>
    </row>
    <row r="2" spans="1:20" ht="18" x14ac:dyDescent="0.25">
      <c r="B2"/>
      <c r="D2"/>
      <c r="E2" s="4"/>
      <c r="F2" s="4"/>
      <c r="J2" s="5" t="s">
        <v>16</v>
      </c>
    </row>
    <row r="3" spans="1:20" x14ac:dyDescent="0.2">
      <c r="C3" s="4"/>
      <c r="H3" s="4"/>
      <c r="L3" s="2"/>
      <c r="M3" s="2"/>
      <c r="N3" s="2"/>
      <c r="O3" s="2"/>
    </row>
    <row r="4" spans="1:20" x14ac:dyDescent="0.2">
      <c r="A4" s="15" t="s">
        <v>20</v>
      </c>
      <c r="B4" s="3">
        <v>-50</v>
      </c>
      <c r="C4" s="1"/>
      <c r="L4" s="7"/>
      <c r="M4" s="7"/>
      <c r="N4" s="7"/>
      <c r="O4" s="7"/>
      <c r="P4" s="4"/>
      <c r="Q4" s="4"/>
      <c r="R4" s="4"/>
      <c r="S4" s="4"/>
    </row>
    <row r="5" spans="1:20" x14ac:dyDescent="0.2">
      <c r="B5" s="7"/>
      <c r="C5" s="1"/>
      <c r="D5" s="7"/>
      <c r="E5" s="1"/>
      <c r="F5" s="1"/>
      <c r="G5" s="7"/>
      <c r="H5" s="1"/>
      <c r="I5" s="7"/>
      <c r="J5" s="6" t="s">
        <v>2</v>
      </c>
      <c r="K5" s="6" t="s">
        <v>2</v>
      </c>
      <c r="L5" s="6" t="s">
        <v>2</v>
      </c>
      <c r="M5" s="6" t="s">
        <v>2</v>
      </c>
      <c r="N5" s="6" t="s">
        <v>2</v>
      </c>
      <c r="O5" s="6" t="s">
        <v>2</v>
      </c>
      <c r="P5" s="4"/>
      <c r="Q5" s="4"/>
      <c r="R5" s="4"/>
    </row>
    <row r="6" spans="1:20" x14ac:dyDescent="0.2">
      <c r="A6" s="1"/>
      <c r="B6" s="7"/>
      <c r="C6" s="6" t="s">
        <v>0</v>
      </c>
      <c r="D6" s="6" t="s">
        <v>13</v>
      </c>
      <c r="E6" s="6" t="s">
        <v>13</v>
      </c>
      <c r="F6" s="6" t="s">
        <v>13</v>
      </c>
      <c r="G6" s="6" t="s">
        <v>2</v>
      </c>
      <c r="H6" s="6" t="s">
        <v>1</v>
      </c>
      <c r="I6" s="6" t="s">
        <v>2</v>
      </c>
      <c r="J6" s="6" t="s">
        <v>13</v>
      </c>
      <c r="K6" s="19" t="s">
        <v>14</v>
      </c>
      <c r="L6" s="6" t="s">
        <v>13</v>
      </c>
      <c r="M6" s="6" t="s">
        <v>14</v>
      </c>
      <c r="N6" s="6" t="s">
        <v>13</v>
      </c>
      <c r="O6" s="6" t="s">
        <v>14</v>
      </c>
      <c r="P6" s="6" t="s">
        <v>3</v>
      </c>
      <c r="Q6" s="6" t="s">
        <v>0</v>
      </c>
      <c r="R6" s="19" t="s">
        <v>3</v>
      </c>
      <c r="S6" s="6" t="s">
        <v>3</v>
      </c>
      <c r="T6" s="6" t="s">
        <v>3</v>
      </c>
    </row>
    <row r="7" spans="1:20" x14ac:dyDescent="0.2">
      <c r="A7" s="6" t="s">
        <v>4</v>
      </c>
      <c r="B7" s="6" t="s">
        <v>5</v>
      </c>
      <c r="C7" s="6" t="s">
        <v>6</v>
      </c>
      <c r="D7" s="6" t="s">
        <v>7</v>
      </c>
      <c r="E7" s="6" t="s">
        <v>15</v>
      </c>
      <c r="F7" s="6" t="s">
        <v>21</v>
      </c>
      <c r="G7" s="6" t="s">
        <v>5</v>
      </c>
      <c r="H7" s="6" t="s">
        <v>8</v>
      </c>
      <c r="I7" s="6" t="s">
        <v>10</v>
      </c>
      <c r="J7" s="6" t="s">
        <v>7</v>
      </c>
      <c r="K7" s="6" t="s">
        <v>7</v>
      </c>
      <c r="L7" s="6" t="s">
        <v>15</v>
      </c>
      <c r="M7" s="6" t="s">
        <v>15</v>
      </c>
      <c r="N7" s="6" t="s">
        <v>21</v>
      </c>
      <c r="O7" s="6" t="s">
        <v>21</v>
      </c>
      <c r="P7" s="6" t="s">
        <v>5</v>
      </c>
      <c r="Q7" s="6" t="s">
        <v>9</v>
      </c>
      <c r="R7" s="19" t="s">
        <v>7</v>
      </c>
      <c r="S7" s="6" t="s">
        <v>15</v>
      </c>
      <c r="T7" s="6" t="s">
        <v>21</v>
      </c>
    </row>
    <row r="8" spans="1:20" s="11" customFormat="1" x14ac:dyDescent="0.2">
      <c r="A8" s="7"/>
      <c r="B8" s="7" t="s">
        <v>11</v>
      </c>
      <c r="C8" s="7" t="s">
        <v>11</v>
      </c>
      <c r="D8" s="7" t="s">
        <v>12</v>
      </c>
      <c r="E8" s="7" t="s">
        <v>12</v>
      </c>
      <c r="F8" s="7" t="s">
        <v>12</v>
      </c>
      <c r="G8" s="7" t="s">
        <v>11</v>
      </c>
      <c r="H8" s="7" t="s">
        <v>12</v>
      </c>
      <c r="I8" s="7" t="s">
        <v>11</v>
      </c>
      <c r="J8" s="7" t="s">
        <v>12</v>
      </c>
      <c r="K8" s="7" t="s">
        <v>12</v>
      </c>
      <c r="L8" s="7" t="s">
        <v>12</v>
      </c>
      <c r="M8" s="7" t="s">
        <v>12</v>
      </c>
      <c r="N8" s="7" t="s">
        <v>12</v>
      </c>
      <c r="O8" s="7" t="s">
        <v>12</v>
      </c>
      <c r="P8" s="7"/>
      <c r="Q8" s="7"/>
      <c r="R8" s="7"/>
    </row>
    <row r="9" spans="1:20" x14ac:dyDescent="0.2">
      <c r="A9" s="15" t="s">
        <v>18</v>
      </c>
      <c r="B9" s="3">
        <v>20</v>
      </c>
      <c r="C9" s="3">
        <v>0.8</v>
      </c>
      <c r="D9" s="3">
        <v>20</v>
      </c>
      <c r="E9" s="3">
        <v>30</v>
      </c>
      <c r="F9" s="3">
        <v>40</v>
      </c>
      <c r="G9" s="3">
        <f>(B9)</f>
        <v>20</v>
      </c>
      <c r="H9" s="14">
        <f t="shared" ref="H9:H15" si="0">($B$4+G9)</f>
        <v>-30</v>
      </c>
      <c r="I9" s="14">
        <f>(C9)</f>
        <v>0.8</v>
      </c>
      <c r="J9" s="3">
        <f>(D9)</f>
        <v>20</v>
      </c>
      <c r="K9" s="3">
        <f t="shared" ref="K9:K15" si="1">(J9-G9+1)</f>
        <v>1</v>
      </c>
      <c r="L9" s="3">
        <f>(E9)</f>
        <v>30</v>
      </c>
      <c r="M9" s="3">
        <f t="shared" ref="M9:M15" si="2">(L9-G9)</f>
        <v>10</v>
      </c>
      <c r="N9" s="3">
        <f>F9</f>
        <v>40</v>
      </c>
      <c r="O9" s="3">
        <f t="shared" ref="O9:O15" si="3">N9-G9</f>
        <v>20</v>
      </c>
      <c r="P9" s="9">
        <f t="shared" ref="P9:T15" si="4">10^(B9/10)</f>
        <v>100</v>
      </c>
      <c r="Q9" s="9">
        <f t="shared" si="4"/>
        <v>1.2022644346174129</v>
      </c>
      <c r="R9" s="9">
        <f t="shared" si="4"/>
        <v>100</v>
      </c>
      <c r="S9" s="9">
        <f t="shared" si="4"/>
        <v>1000</v>
      </c>
      <c r="T9" s="9">
        <f t="shared" si="4"/>
        <v>10000</v>
      </c>
    </row>
    <row r="10" spans="1:20" x14ac:dyDescent="0.2">
      <c r="A10" s="15" t="s">
        <v>24</v>
      </c>
      <c r="B10" s="3">
        <v>-1</v>
      </c>
      <c r="C10" s="3">
        <f t="shared" ref="C10:C14" si="5">(-B10)</f>
        <v>1</v>
      </c>
      <c r="D10" s="3">
        <v>100</v>
      </c>
      <c r="E10" s="3">
        <v>100</v>
      </c>
      <c r="F10" s="3">
        <v>100</v>
      </c>
      <c r="G10" s="3">
        <f t="shared" ref="G10:G15" si="6">(G9+B10)</f>
        <v>19</v>
      </c>
      <c r="H10" s="14">
        <f t="shared" si="0"/>
        <v>-31</v>
      </c>
      <c r="I10" s="14">
        <f>10*LOG10(10^(I9/10)+(Q10-1)/(P9))</f>
        <v>0.80934311613926346</v>
      </c>
      <c r="J10" s="3">
        <f>10*LOG10(1/(1/(R9*P10)+1/R10))</f>
        <v>18.999999965502763</v>
      </c>
      <c r="K10" s="3">
        <f t="shared" si="1"/>
        <v>0.99999996550276293</v>
      </c>
      <c r="L10" s="3">
        <f>10*LOG10(1/(1/(S9*P10)+1/S10))</f>
        <v>28.999999655027647</v>
      </c>
      <c r="M10" s="3">
        <f t="shared" si="2"/>
        <v>9.9999996550276471</v>
      </c>
      <c r="N10" s="3">
        <f>10*LOG10(POWER(1/(1/SQRT(T9*P10)+1/SQRT(T10)),2))</f>
        <v>38.992262140386899</v>
      </c>
      <c r="O10" s="3">
        <f t="shared" si="3"/>
        <v>19.992262140386899</v>
      </c>
      <c r="P10" s="9">
        <f t="shared" si="4"/>
        <v>0.79432823472428149</v>
      </c>
      <c r="Q10" s="9">
        <f t="shared" si="4"/>
        <v>1.2589254117941673</v>
      </c>
      <c r="R10" s="9">
        <f t="shared" si="4"/>
        <v>10000000000</v>
      </c>
      <c r="S10" s="9">
        <f t="shared" si="4"/>
        <v>10000000000</v>
      </c>
      <c r="T10" s="9">
        <f t="shared" si="4"/>
        <v>10000000000</v>
      </c>
    </row>
    <row r="11" spans="1:20" x14ac:dyDescent="0.2">
      <c r="A11" s="15" t="s">
        <v>23</v>
      </c>
      <c r="B11" s="3">
        <v>-2</v>
      </c>
      <c r="C11" s="3">
        <f t="shared" si="5"/>
        <v>2</v>
      </c>
      <c r="D11" s="3">
        <v>100</v>
      </c>
      <c r="E11" s="3">
        <v>100</v>
      </c>
      <c r="F11" s="3">
        <v>100</v>
      </c>
      <c r="G11" s="3">
        <f t="shared" si="6"/>
        <v>17</v>
      </c>
      <c r="H11" s="14">
        <f t="shared" si="0"/>
        <v>-33</v>
      </c>
      <c r="I11" s="14">
        <f>10*LOG10(10^(I10/10)+(Q11-1)/(P9*P10))</f>
        <v>0.83580390911414171</v>
      </c>
      <c r="J11" s="3">
        <f>10*LOG10(1/(1/(R9*P10*P11)+1/(R10*P11)+1/R11))</f>
        <v>16.99999994373648</v>
      </c>
      <c r="K11" s="3">
        <f t="shared" si="1"/>
        <v>0.99999994373647993</v>
      </c>
      <c r="L11" s="3">
        <f>10*LOG10(1/(1/(S9*P10*P11)+1/(S10*P11)+1/S11))</f>
        <v>26.999999437364814</v>
      </c>
      <c r="M11" s="3">
        <f t="shared" si="2"/>
        <v>9.9999994373648136</v>
      </c>
      <c r="N11" s="3">
        <f>10*LOG10(POWER(1/(1/SQRT(T9*P10*P11)+1/SQRT(T10*P11)+1/SQRT(T11)),2))</f>
        <v>36.986120648709608</v>
      </c>
      <c r="O11" s="3">
        <f t="shared" si="3"/>
        <v>19.986120648709608</v>
      </c>
      <c r="P11" s="9">
        <f t="shared" si="4"/>
        <v>0.63095734448019325</v>
      </c>
      <c r="Q11" s="9">
        <f t="shared" si="4"/>
        <v>1.5848931924611136</v>
      </c>
      <c r="R11" s="9">
        <f t="shared" si="4"/>
        <v>10000000000</v>
      </c>
      <c r="S11" s="9">
        <f t="shared" si="4"/>
        <v>10000000000</v>
      </c>
      <c r="T11" s="9">
        <f t="shared" si="4"/>
        <v>10000000000</v>
      </c>
    </row>
    <row r="12" spans="1:20" x14ac:dyDescent="0.2">
      <c r="A12" s="10" t="s">
        <v>19</v>
      </c>
      <c r="B12" s="3">
        <v>-7</v>
      </c>
      <c r="C12" s="3">
        <v>7</v>
      </c>
      <c r="D12" s="3">
        <v>0</v>
      </c>
      <c r="E12" s="3">
        <v>10</v>
      </c>
      <c r="F12" s="3">
        <v>20</v>
      </c>
      <c r="G12" s="3">
        <f t="shared" si="6"/>
        <v>10</v>
      </c>
      <c r="H12" s="14">
        <f t="shared" si="0"/>
        <v>-40</v>
      </c>
      <c r="I12" s="14">
        <f>10*LOG10(10^(I11/10)+(Q12-1)/(P9*P10*P11))</f>
        <v>1.1135139194414254</v>
      </c>
      <c r="J12" s="3">
        <f>10*LOG10(1/(1/(R9*P10*P11*P12)+1/(R10*P11*P12)+1/(R11*P12)+1/R12))</f>
        <v>-0.41392685669711649</v>
      </c>
      <c r="K12" s="3">
        <f t="shared" si="1"/>
        <v>-9.4139268566971168</v>
      </c>
      <c r="L12" s="3">
        <f>10*LOG10(1/(1/(S9*P10*P11*P12)+1/(S10*P11*P12)+1/(S11*P12)+1/S12))</f>
        <v>9.5860730972690931</v>
      </c>
      <c r="M12" s="3">
        <f t="shared" si="2"/>
        <v>-0.41392690273090693</v>
      </c>
      <c r="N12" s="3">
        <f>10*LOG10(POWER(1/(1/SQRT(T9*P10*P11*P12)+1/SQRT(T10*P11*P12)+1/SQRT(T11*P12)+1/SQRT(T12)),2))</f>
        <v>17.610042457214551</v>
      </c>
      <c r="O12" s="3">
        <f t="shared" si="3"/>
        <v>7.6100424572145506</v>
      </c>
      <c r="P12" s="9">
        <f t="shared" si="4"/>
        <v>0.19952623149688795</v>
      </c>
      <c r="Q12" s="9">
        <f t="shared" si="4"/>
        <v>5.0118723362727229</v>
      </c>
      <c r="R12" s="9">
        <f t="shared" si="4"/>
        <v>1</v>
      </c>
      <c r="S12" s="9">
        <f t="shared" si="4"/>
        <v>10</v>
      </c>
      <c r="T12" s="9">
        <f t="shared" si="4"/>
        <v>100</v>
      </c>
    </row>
    <row r="13" spans="1:20" x14ac:dyDescent="0.2">
      <c r="A13" s="15" t="s">
        <v>22</v>
      </c>
      <c r="B13" s="3">
        <v>-2</v>
      </c>
      <c r="C13" s="3">
        <f t="shared" si="5"/>
        <v>2</v>
      </c>
      <c r="D13" s="3">
        <v>100</v>
      </c>
      <c r="E13" s="3">
        <v>100</v>
      </c>
      <c r="F13" s="3">
        <v>100</v>
      </c>
      <c r="G13" s="3">
        <f t="shared" si="6"/>
        <v>8</v>
      </c>
      <c r="H13" s="14">
        <f t="shared" si="0"/>
        <v>-42</v>
      </c>
      <c r="I13" s="14">
        <f>10*LOG10(10^(I12/10)+(Q13-1)/(P9*P10*P11*P12))</f>
        <v>1.3057618315548589</v>
      </c>
      <c r="J13" s="3">
        <f>10*LOG10(1/(1/(R9*P10*P11*P12*P13)+1/(R10*P11*P12*P13)+1/(R11*P12*P13)+1/(R12*P13)+1/R13))</f>
        <v>-2.413926856946226</v>
      </c>
      <c r="K13" s="3">
        <f t="shared" si="1"/>
        <v>-9.413926856946226</v>
      </c>
      <c r="L13" s="3">
        <f>10*LOG10(1/(1/(S9*P10*P11*P12*P13)+1/(S10*P11*P12*P13)+1/(S11*P12*P13)+1/(S12*P13)+1/S13))</f>
        <v>7.5860730947779906</v>
      </c>
      <c r="M13" s="3">
        <f t="shared" si="2"/>
        <v>-0.41392690522200937</v>
      </c>
      <c r="N13" s="3">
        <f>10*LOG10(POWER(1/(1/SQRT(T9*P10*P11*P12*P13)+1/SQRT(T10*P11*P12*P13)+1/SQRT(T11*P12*P13)+1/SQRT(T12*P13)+1/SQRT(T13)),2))</f>
        <v>15.609518490944366</v>
      </c>
      <c r="O13" s="3">
        <f t="shared" si="3"/>
        <v>7.6095184909443656</v>
      </c>
      <c r="P13" s="9">
        <f t="shared" si="4"/>
        <v>0.63095734448019325</v>
      </c>
      <c r="Q13" s="9">
        <f t="shared" si="4"/>
        <v>1.5848931924611136</v>
      </c>
      <c r="R13" s="9">
        <f t="shared" si="4"/>
        <v>10000000000</v>
      </c>
      <c r="S13" s="9">
        <f t="shared" si="4"/>
        <v>10000000000</v>
      </c>
      <c r="T13" s="9">
        <f t="shared" si="4"/>
        <v>10000000000</v>
      </c>
    </row>
    <row r="14" spans="1:20" x14ac:dyDescent="0.2">
      <c r="A14" s="15" t="s">
        <v>25</v>
      </c>
      <c r="B14" s="3">
        <v>-4</v>
      </c>
      <c r="C14" s="3">
        <f t="shared" si="5"/>
        <v>4</v>
      </c>
      <c r="D14" s="3">
        <v>100</v>
      </c>
      <c r="E14" s="3">
        <v>100</v>
      </c>
      <c r="F14" s="3">
        <v>100</v>
      </c>
      <c r="G14" s="3">
        <f t="shared" si="6"/>
        <v>4</v>
      </c>
      <c r="H14" s="14">
        <f t="shared" si="0"/>
        <v>-46</v>
      </c>
      <c r="I14" s="14">
        <f>10*LOG10(10^(I13/10)+(Q14-1)/(P9*P10*P11*P12*P13))</f>
        <v>2.0149861313744699</v>
      </c>
      <c r="J14" s="3">
        <f>10*LOG10(1/(1/(R9*P10*P11*P12*P13*P14)+1/(R10*P11*P12*P13*P14)+1/(R11*P12*P13*P14)+1/(R12*P13*P14)+1/(R13*P14)+1/R14))</f>
        <v>-6.4139268570454</v>
      </c>
      <c r="K14" s="3">
        <f t="shared" si="1"/>
        <v>-9.4139268570454</v>
      </c>
      <c r="L14" s="3">
        <f>10*LOG10(1/(1/(S9*P10*P11*P12*P13*P14)+1/(S10*P11*P12*P13*P14)+1/(S11*P12*P13*P14)+1/(S12*P13*P14)+1/(S13*P14)+1/S14))</f>
        <v>3.5860730937862644</v>
      </c>
      <c r="M14" s="3">
        <f t="shared" si="2"/>
        <v>-0.41392690621373562</v>
      </c>
      <c r="N14" s="3">
        <f>10*LOG10(POWER(1/(1/SQRT(T9*P10*P11*P12*P13*P14)+1/SQRT(T10*P11*P12*P13*P14)+1/SQRT(T11*P12*P13*P14)+1/SQRT(T12*P13*P14)+1/SQRT(T13*P14)+1/SQRT(T14)),2))</f>
        <v>11.609187906840354</v>
      </c>
      <c r="O14" s="3">
        <f t="shared" si="3"/>
        <v>7.6091879068403543</v>
      </c>
      <c r="P14" s="9">
        <f t="shared" si="4"/>
        <v>0.3981071705534972</v>
      </c>
      <c r="Q14" s="9">
        <f t="shared" si="4"/>
        <v>2.5118864315095806</v>
      </c>
      <c r="R14" s="9">
        <f t="shared" si="4"/>
        <v>10000000000</v>
      </c>
      <c r="S14" s="9">
        <f t="shared" si="4"/>
        <v>10000000000</v>
      </c>
      <c r="T14" s="9">
        <f t="shared" si="4"/>
        <v>10000000000</v>
      </c>
    </row>
    <row r="15" spans="1:20" x14ac:dyDescent="0.2">
      <c r="A15" s="15" t="s">
        <v>26</v>
      </c>
      <c r="B15" s="3">
        <v>15</v>
      </c>
      <c r="C15" s="3">
        <v>3</v>
      </c>
      <c r="D15" s="3">
        <v>10</v>
      </c>
      <c r="E15" s="3">
        <v>20</v>
      </c>
      <c r="F15" s="3">
        <v>30</v>
      </c>
      <c r="G15" s="20">
        <f t="shared" si="6"/>
        <v>19</v>
      </c>
      <c r="H15" s="18">
        <f t="shared" si="0"/>
        <v>-31</v>
      </c>
      <c r="I15" s="17">
        <f>10*LOG10(10^(I14/10)+(Q15-1)/(P9*P10*P11*P12*P13*P14))</f>
        <v>2.9810882856331462</v>
      </c>
      <c r="J15" s="20">
        <f>10*LOG10(1/(1/(R9*P10*P11*P12*P13*P14*P15)+1/(R10*P11*P12*P13*P14*P15)+1/(R11*P12*P13*P14*P15)+1/(R12*P13*P14*P15)+1/(R13*P14*P15)+1/(R14*P15)+1/R15))</f>
        <v>6.2254476726536421</v>
      </c>
      <c r="K15" s="9">
        <f t="shared" si="1"/>
        <v>-11.774552327346358</v>
      </c>
      <c r="L15" s="20">
        <f>10*LOG10(1/(1/(S9*P10*P11*P12*P13*P14*P15)+1/(S10*P11*P12*P13*P14*P15)+1/(S11*P12*P13*P14*P15)+1/(S12*P13*P14*P15)+1/(S13*P14*P15)+1/(S14*P15)+1/S15))</f>
        <v>16.225447644102534</v>
      </c>
      <c r="M15" s="9">
        <f t="shared" si="2"/>
        <v>-2.7745523558974661</v>
      </c>
      <c r="N15" s="20">
        <f>10*LOG10(POWER(1/(1/SQRT(T9*P10*P11*P12*P13*P14*P15)+1/SQRT(T10*P11*P12*P13*P14*P15)+1/SQRT(T11*P12*P13*P14*P15)+1/SQRT(T12*P13*P14*P15)+1/SQRT(T13*P14*P15)+1/SQRT(T14*P15)+1/SQRT(T15)),2))</f>
        <v>22.119570307507416</v>
      </c>
      <c r="O15" s="9">
        <f t="shared" si="3"/>
        <v>3.1195703075074164</v>
      </c>
      <c r="P15" s="9">
        <f t="shared" si="4"/>
        <v>31.622776601683803</v>
      </c>
      <c r="Q15" s="9">
        <f t="shared" si="4"/>
        <v>1.9952623149688797</v>
      </c>
      <c r="R15" s="9">
        <f t="shared" si="4"/>
        <v>10</v>
      </c>
      <c r="S15" s="9">
        <f t="shared" si="4"/>
        <v>100</v>
      </c>
      <c r="T15" s="9">
        <f t="shared" si="4"/>
        <v>1000</v>
      </c>
    </row>
    <row r="16" spans="1:20" x14ac:dyDescent="0.2">
      <c r="A16" s="1"/>
      <c r="B16" s="3"/>
      <c r="C16" s="3"/>
      <c r="D16" s="3"/>
      <c r="E16" s="3"/>
      <c r="F16" s="3"/>
      <c r="G16" s="3"/>
      <c r="H16" s="3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7" x14ac:dyDescent="0.2">
      <c r="A17" s="1"/>
      <c r="B17" s="7"/>
      <c r="C17" s="7"/>
      <c r="G17" s="3"/>
    </row>
    <row r="18" spans="1:7" x14ac:dyDescent="0.2">
      <c r="D18" s="12"/>
    </row>
    <row r="19" spans="1:7" x14ac:dyDescent="0.2">
      <c r="B19" s="11"/>
      <c r="E19" s="11"/>
      <c r="F19" s="11"/>
    </row>
    <row r="20" spans="1:7" x14ac:dyDescent="0.2">
      <c r="B20" s="11"/>
      <c r="E20" s="11"/>
      <c r="F20" s="11"/>
    </row>
    <row r="21" spans="1:7" x14ac:dyDescent="0.2">
      <c r="B21" s="11"/>
      <c r="E21" s="11"/>
      <c r="F21" s="11"/>
    </row>
    <row r="22" spans="1:7" x14ac:dyDescent="0.2">
      <c r="B22" s="11"/>
      <c r="E22" s="11"/>
      <c r="F22" s="11"/>
    </row>
    <row r="1048576" spans="15:15" x14ac:dyDescent="0.2">
      <c r="O1048576" s="3"/>
    </row>
  </sheetData>
  <phoneticPr fontId="3" type="noConversion"/>
  <pageMargins left="0.75" right="0.75" top="1" bottom="1" header="0.5" footer="0.5"/>
  <pageSetup orientation="landscape" horizontalDpi="300" vertic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VANDYKE,RULON (A-ColSprings,ex1)</dc:creator>
  <cp:lastModifiedBy>VANDYKE,RULON (K-Atlanta,ex1)</cp:lastModifiedBy>
  <cp:lastPrinted>2002-03-11T16:38:30Z</cp:lastPrinted>
  <dcterms:created xsi:type="dcterms:W3CDTF">1998-02-26T21:56:58Z</dcterms:created>
  <dcterms:modified xsi:type="dcterms:W3CDTF">2018-07-17T14:36:00Z</dcterms:modified>
</cp:coreProperties>
</file>